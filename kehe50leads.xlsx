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mmy\"/>
    </mc:Choice>
  </mc:AlternateContent>
  <xr:revisionPtr revIDLastSave="0" documentId="13_ncr:1_{C74B521C-F2C7-4604-A492-42947D744788}" xr6:coauthVersionLast="47" xr6:coauthVersionMax="47" xr10:uidLastSave="{00000000-0000-0000-0000-000000000000}"/>
  <bookViews>
    <workbookView xWindow="-108" yWindow="-108" windowWidth="23256" windowHeight="13176" xr2:uid="{BD6775F3-462C-4A16-87FC-C0B8E34C889B}"/>
  </bookViews>
  <sheets>
    <sheet name="kehe 50 lea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1" i="1" l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<sst xmlns="http://schemas.openxmlformats.org/spreadsheetml/2006/main" count="256" uniqueCount="229">
  <si>
    <t>SR#</t>
  </si>
  <si>
    <t>Brand Name</t>
  </si>
  <si>
    <t>Category</t>
  </si>
  <si>
    <t>Primary Pain Point (Opportunity)</t>
  </si>
  <si>
    <t>Current Manual Workflow</t>
  </si>
  <si>
    <t>Automation Solution</t>
  </si>
  <si>
    <t>Aura Bora</t>
  </si>
  <si>
    <t>Beverages</t>
  </si>
  <si>
    <t>Portal Data Entry</t>
  </si>
  <si>
    <t>Manually typing SKUs into KeHE CONNECT</t>
  </si>
  <si>
    <t>Auto-upload from Shopify/ERP</t>
  </si>
  <si>
    <t>BeBOLD</t>
  </si>
  <si>
    <t>Energy Bars</t>
  </si>
  <si>
    <t>Inventory Syncing</t>
  </si>
  <si>
    <t>Checking stock levels across 3 platforms</t>
  </si>
  <si>
    <t>Real-time stock sync bot</t>
  </si>
  <si>
    <t>Rollin' N Bowlin'</t>
  </si>
  <si>
    <t>Frozen Food</t>
  </si>
  <si>
    <t>Spoilage Tracking</t>
  </si>
  <si>
    <t>Manually tracking "Best By" dates in Excel</t>
  </si>
  <si>
    <t>Automated "Short-Date" alerts</t>
  </si>
  <si>
    <t>Bee's Wrap</t>
  </si>
  <si>
    <t>Household</t>
  </si>
  <si>
    <t>EDI Document Errors</t>
  </si>
  <si>
    <t>Fixing "rejected" EDI orders manually</t>
  </si>
  <si>
    <t>EDI Error-Checking script</t>
  </si>
  <si>
    <t>Elementa</t>
  </si>
  <si>
    <t>Supplements</t>
  </si>
  <si>
    <t>Price Discrepancies</t>
  </si>
  <si>
    <t>Manually updating prices for every retailer</t>
  </si>
  <si>
    <t>Price sync automation</t>
  </si>
  <si>
    <t>O2</t>
  </si>
  <si>
    <t>Hydration</t>
  </si>
  <si>
    <t>Chargeback Tracking</t>
  </si>
  <si>
    <t>Reviewing KeHE deductions line-by-line</t>
  </si>
  <si>
    <t>Automated deduction auditor</t>
  </si>
  <si>
    <t>Vegobears</t>
  </si>
  <si>
    <t>Candy</t>
  </si>
  <si>
    <t>Order Processing</t>
  </si>
  <si>
    <t>Reading PDF orders and typing into Excel</t>
  </si>
  <si>
    <t>OCR (PDF-to-Data) Automation</t>
  </si>
  <si>
    <t>De La Calle</t>
  </si>
  <si>
    <t>FSMA 204 Compliance</t>
  </si>
  <si>
    <t>Manual lot tracking on paper/sheets</t>
  </si>
  <si>
    <t>Digital Traceability Log</t>
  </si>
  <si>
    <t>Fix &amp; Fogg</t>
  </si>
  <si>
    <t>Pantry</t>
  </si>
  <si>
    <t>Cross-Border Data</t>
  </si>
  <si>
    <t>Syncing International and US SKU data</t>
  </si>
  <si>
    <t>Automated Data Formatter</t>
  </si>
  <si>
    <t>Happy Tomato</t>
  </si>
  <si>
    <t>RangeMe Onboarding</t>
  </si>
  <si>
    <t>Manually uploading images/specs</t>
  </si>
  <si>
    <t>Bulk Media Uploader</t>
  </si>
  <si>
    <t>Narra</t>
  </si>
  <si>
    <t>Coffee/Tea</t>
  </si>
  <si>
    <t>Out-of-Stock Alerts</t>
  </si>
  <si>
    <t>Checking retailer sites daily for stock</t>
  </si>
  <si>
    <t>Web Scraping Stock Monitor</t>
  </si>
  <si>
    <t>Fave</t>
  </si>
  <si>
    <t>Juice</t>
  </si>
  <si>
    <t>Data Silos</t>
  </si>
  <si>
    <t>Copy-pasting data between Shopify/KeHE</t>
  </si>
  <si>
    <t>API-to-API Bridge</t>
  </si>
  <si>
    <t>Maja</t>
  </si>
  <si>
    <t>Bank Reconciliation</t>
  </si>
  <si>
    <t>Matching KeHE checks to open invoices</t>
  </si>
  <si>
    <t>Automated Payment Matcher</t>
  </si>
  <si>
    <t>Liquid Youth</t>
  </si>
  <si>
    <t>Wellness</t>
  </si>
  <si>
    <t>Visual Reporting</t>
  </si>
  <si>
    <t>Exporting CSVs to make charts in Excel</t>
  </si>
  <si>
    <t>Live Google Data Studio Dash</t>
  </si>
  <si>
    <t>Moonglade</t>
  </si>
  <si>
    <t>Craft Soda</t>
  </si>
  <si>
    <t>Warehouse Picking</t>
  </si>
  <si>
    <t>Writing out pick-lists from portal orders</t>
  </si>
  <si>
    <t>Automated Pick-List Generator</t>
  </si>
  <si>
    <t>Cloud Coffee</t>
  </si>
  <si>
    <t>Coffee</t>
  </si>
  <si>
    <t>Multi-Channel Sync</t>
  </si>
  <si>
    <t>Managing web vs wholesale inventory</t>
  </si>
  <si>
    <t>Centralized Inventory Hub</t>
  </si>
  <si>
    <t>Nice Cans</t>
  </si>
  <si>
    <t>Food Safety Logs</t>
  </si>
  <si>
    <t>Keeping manual temperature/batch logs</t>
  </si>
  <si>
    <t>IoT/Sensor Data Automation</t>
  </si>
  <si>
    <t>enABLE Bakehouse</t>
  </si>
  <si>
    <t>Bakery</t>
  </si>
  <si>
    <t>Customer Service</t>
  </si>
  <si>
    <t>Answering "Where is my order?" via email</t>
  </si>
  <si>
    <t>Automated Order Status Bot</t>
  </si>
  <si>
    <t>Republic Spirit</t>
  </si>
  <si>
    <t>Mixers</t>
  </si>
  <si>
    <t>Trade Show ROI</t>
  </si>
  <si>
    <t>Calculating "Show Order" profit manually</t>
  </si>
  <si>
    <t>Show Order Sales Analyzer</t>
  </si>
  <si>
    <t>Wood Stove Kitchen</t>
  </si>
  <si>
    <t>Multi-Distributor</t>
  </si>
  <si>
    <t>Managing UNFI and KeHE data separately</t>
  </si>
  <si>
    <t>Dual-Distributor Sync Tool</t>
  </si>
  <si>
    <t>Sol Squeeze</t>
  </si>
  <si>
    <t>Label Generation</t>
  </si>
  <si>
    <t>Typing addresses into UPS/FedEx</t>
  </si>
  <si>
    <t>Auto-Shipping Label Creator</t>
  </si>
  <si>
    <t>Yeshi Foods</t>
  </si>
  <si>
    <t>Condiments</t>
  </si>
  <si>
    <t>Compliance Reporting</t>
  </si>
  <si>
    <t>Preparing quarterly safety reports manually</t>
  </si>
  <si>
    <t>Automated Compliance Engine</t>
  </si>
  <si>
    <t>Wildwood Grilling</t>
  </si>
  <si>
    <t>EDI 850 Processing</t>
  </si>
  <si>
    <t>Manually acknowledging POs in portal</t>
  </si>
  <si>
    <t>Automated PO Acknowledger</t>
  </si>
  <si>
    <t>Backhome Foods</t>
  </si>
  <si>
    <t>Daily Portal Login</t>
  </si>
  <si>
    <t>Logging in 3x daily to check for orders</t>
  </si>
  <si>
    <t>"New Order" Slack/Email Alerts</t>
  </si>
  <si>
    <t>Sky Barn</t>
  </si>
  <si>
    <t>Metadata Management</t>
  </si>
  <si>
    <t>Uploading product photos/descriptions</t>
  </si>
  <si>
    <t>Bulk Product Info Uploader</t>
  </si>
  <si>
    <t>Spicy Coffee</t>
  </si>
  <si>
    <t>DSD Route Planning</t>
  </si>
  <si>
    <t>Manually planning local store deliveries</t>
  </si>
  <si>
    <t>Route Optimization Script</t>
  </si>
  <si>
    <t>Pulse Power</t>
  </si>
  <si>
    <t>Snacks</t>
  </si>
  <si>
    <t>Demand Forecasting</t>
  </si>
  <si>
    <t>Guessing when to send stock to DC #16</t>
  </si>
  <si>
    <t>AI-based Reorder Calculator</t>
  </si>
  <si>
    <t>ORZAX</t>
  </si>
  <si>
    <t>Cert. of Analysis (COA)</t>
  </si>
  <si>
    <t>Sending COA files to KeHE manually</t>
  </si>
  <si>
    <t>Automated COA File Manager</t>
  </si>
  <si>
    <t>Chelsea Approved</t>
  </si>
  <si>
    <t>Weekly Sales Recaps</t>
  </si>
  <si>
    <t>Manually totaling sales for the week</t>
  </si>
  <si>
    <t>Automated Weekly Performance Report</t>
  </si>
  <si>
    <t>WhirlyBird</t>
  </si>
  <si>
    <t>Granola</t>
  </si>
  <si>
    <t>Retailer Inquiries</t>
  </si>
  <si>
    <t>Manually emailing product specs to stores</t>
  </si>
  <si>
    <t>Digital "Brand Folder" Automator</t>
  </si>
  <si>
    <t>Figlia</t>
  </si>
  <si>
    <t>Content Sync</t>
  </si>
  <si>
    <t>Updating web photos on KeHE portal</t>
  </si>
  <si>
    <t>Auto-image Resizer/Uploader</t>
  </si>
  <si>
    <t>Ketchup Please</t>
  </si>
  <si>
    <t>Stock Validation</t>
  </si>
  <si>
    <t>Checking inventory before accepting POs</t>
  </si>
  <si>
    <t>Auto-PO Validator</t>
  </si>
  <si>
    <t>Suckerz</t>
  </si>
  <si>
    <t>Shelf-Life Risks</t>
  </si>
  <si>
    <t>Checking warehouse age via phone calls</t>
  </si>
  <si>
    <t>Automated Warehouse Age Report</t>
  </si>
  <si>
    <t>Harken Foods</t>
  </si>
  <si>
    <t>New Item Launch</t>
  </si>
  <si>
    <t>Filling out 10+ onboarding spreadsheets</t>
  </si>
  <si>
    <t>Onboarding Form Auto-Filler</t>
  </si>
  <si>
    <t>Blobs</t>
  </si>
  <si>
    <t>Short-Pay Disputes</t>
  </si>
  <si>
    <t>Manually filing dispute claims with KeHE</t>
  </si>
  <si>
    <t>One-Click Dispute Automator</t>
  </si>
  <si>
    <t>Eat Gold</t>
  </si>
  <si>
    <t>Ingredient Compliance</t>
  </si>
  <si>
    <t>Reviewing label laws manually</t>
  </si>
  <si>
    <t>Automated Label Review Script</t>
  </si>
  <si>
    <t>Sugar Bliss</t>
  </si>
  <si>
    <t>Accounting Sync</t>
  </si>
  <si>
    <t>Entering KeHE orders into QuickBooks</t>
  </si>
  <si>
    <t>QuickBooks-KeHE Integrator</t>
  </si>
  <si>
    <t>IBA Energy</t>
  </si>
  <si>
    <t>Retail Presence</t>
  </si>
  <si>
    <t>Checking "In-Stock" status at grocers</t>
  </si>
  <si>
    <t>Virtual Shelf Auditor (Web Scrape)</t>
  </si>
  <si>
    <t>Amasar</t>
  </si>
  <si>
    <t>Translation Tasks</t>
  </si>
  <si>
    <t>Translating data for different markets</t>
  </si>
  <si>
    <t>Automated Translation Pipeline</t>
  </si>
  <si>
    <t>Matchako</t>
  </si>
  <si>
    <t>Tea</t>
  </si>
  <si>
    <t>First-Time EDI</t>
  </si>
  <si>
    <t>Connecting to KeHE for the first time</t>
  </si>
  <si>
    <t>EDI Setup/Onboarding Service</t>
  </si>
  <si>
    <t>Spicekick</t>
  </si>
  <si>
    <t>Spices</t>
  </si>
  <si>
    <t>Invoice Generation</t>
  </si>
  <si>
    <t>Creating PDF invoices from portal data</t>
  </si>
  <si>
    <t>Auto-Invoice PDF Creator</t>
  </si>
  <si>
    <t>Spicewell</t>
  </si>
  <si>
    <t>Seasonality Trends</t>
  </si>
  <si>
    <t>Predicting holiday stock surges</t>
  </si>
  <si>
    <t>Seasonal Trend Forecaster</t>
  </si>
  <si>
    <t>NicObi Foods</t>
  </si>
  <si>
    <t>Production Planning</t>
  </si>
  <si>
    <t>Calculating raw goods needed for orders</t>
  </si>
  <si>
    <t>Production-to-Order Calculator</t>
  </si>
  <si>
    <t>Maya Pura</t>
  </si>
  <si>
    <t>GDSN Data Sync</t>
  </si>
  <si>
    <t>Manually syncing Global Data Sync Network</t>
  </si>
  <si>
    <t>Automated GDSN Sync Monitor</t>
  </si>
  <si>
    <t>Sattva Vida</t>
  </si>
  <si>
    <t>Unit Margin Analysis</t>
  </si>
  <si>
    <t>Calculating net profit after all fees</t>
  </si>
  <si>
    <t>Automated Net Margin Tracker</t>
  </si>
  <si>
    <t>Trujoy Yogurt</t>
  </si>
  <si>
    <t>Dairy</t>
  </si>
  <si>
    <t>Cold-Chain Audit</t>
  </si>
  <si>
    <t>Monitoring truck temp logs manually</t>
  </si>
  <si>
    <t>Cold-Chain Log Aggregator</t>
  </si>
  <si>
    <t>Berhan Grains</t>
  </si>
  <si>
    <t>Grains</t>
  </si>
  <si>
    <t>Shipping Status</t>
  </si>
  <si>
    <t>Manually marking "Shipped" in KeHE</t>
  </si>
  <si>
    <t>Auto-ASN (Advanced Ship Notice)</t>
  </si>
  <si>
    <t>Oomph! Sweets</t>
  </si>
  <si>
    <t>Data Exporting</t>
  </si>
  <si>
    <t>Downloading CSVs from KeHE daily</t>
  </si>
  <si>
    <t>Automated CSV Downloader/Bot</t>
  </si>
  <si>
    <t>Veneto Café</t>
  </si>
  <si>
    <t>Price Benchmarking</t>
  </si>
  <si>
    <t>Checking competitors' prices on web</t>
  </si>
  <si>
    <t>Automated Competitor Price Bot</t>
  </si>
  <si>
    <t>Scotch Boyz</t>
  </si>
  <si>
    <t>Sauces</t>
  </si>
  <si>
    <t>Freight Booking</t>
  </si>
  <si>
    <t>Calling brokers for KeHE shipments</t>
  </si>
  <si>
    <t>Automated Freight Quote 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</si>
</sst>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5">
    <xf numFmtId="0" fontId="0" fillId="0" borderId="0" xfId="0"/>
    <xf numFmtId="0" fontId="3" fillId="3" borderId="1" xfId="2" applyFont="1" applyBorder="1" applyAlignment="1">
      <alignment horizontal="center" vertical="center"/>
    </xf>
    <xf numFmtId="0" fontId="4" fillId="2" borderId="2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3" borderId="1" xfId="2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0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</cellXfs>
  <cellStyles count="3">
    <cellStyle name="60% - Accent3" xfId="2" builtinId="40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DF2-B7E7-4815-8A73-A2F22D897AF4}">
  <dimension ref="A1:I55"/>
  <sheetViews>
    <sheetView tabSelected="1" workbookViewId="0">
      <selection sqref="A1:XFD1048576"/>
    </sheetView>
  </sheetViews>
  <sheetFormatPr defaultRowHeight="15.6" x14ac:dyDescent="0.3"/>
  <cols>
    <col min="1" max="1" width="12.109375" customWidth="1"/>
    <col min="2" max="2" width="9.6640625" customWidth="1"/>
    <col min="3" max="3" width="5.33203125" customWidth="1"/>
    <col min="4" max="4" width="9.6640625" style="14" customWidth="1"/>
    <col min="5" max="5" width="18.5546875" customWidth="1"/>
    <col min="6" max="6" width="19.6640625" customWidth="1"/>
    <col min="7" max="7" width="26.88671875" customWidth="1"/>
    <col min="8" max="8" width="36.5546875" style="12" customWidth="1"/>
    <col min="9" max="9" width="31.21875" style="12" customWidth="1"/>
  </cols>
  <sheetData>
    <row r="1" spans="4:9" s="5" customFormat="1" ht="42.6" customHeight="1" x14ac:dyDescent="0.3">
      <c r="D1" s="1" t="s">
        <v>0</v>
      </c>
      <c r="E1" s="2" t="s">
        <v>1</v>
      </c>
      <c r="F1" s="3" t="s">
        <v>2</v>
      </c>
      <c r="G1" s="4" t="s">
        <v>3</v>
      </c>
      <c r="H1" s="3" t="s">
        <v>4</v>
      </c>
      <c r="I1" s="3" t="s">
        <v>5</v>
      </c>
    </row>
    <row r="2" spans="4:9" ht="42" customHeight="1" x14ac:dyDescent="0.3">
      <c r="D2" s="6">
        <f>IF(E2&lt;&gt;"", ROW()-1, "")</f>
        <v>1</v>
      </c>
      <c r="E2" s="7" t="s">
        <v>6</v>
      </c>
      <c r="F2" s="8" t="s">
        <v>7</v>
      </c>
      <c r="G2" s="8" t="s">
        <v>8</v>
      </c>
      <c r="H2" s="8" t="s">
        <v>9</v>
      </c>
      <c r="I2" s="8" t="s">
        <v>10</v>
      </c>
    </row>
    <row r="3" spans="4:9" ht="27.6" x14ac:dyDescent="0.3">
      <c r="D3" s="6">
        <f t="shared" ref="D3:D51" si="0">IF(E3&lt;&gt;"", ROW()-1, "")</f>
        <v>2</v>
      </c>
      <c r="E3" s="7" t="s">
        <v>11</v>
      </c>
      <c r="F3" s="8" t="s">
        <v>12</v>
      </c>
      <c r="G3" s="8" t="s">
        <v>13</v>
      </c>
      <c r="H3" s="8" t="s">
        <v>14</v>
      </c>
      <c r="I3" s="8" t="s">
        <v>15</v>
      </c>
    </row>
    <row r="4" spans="4:9" ht="27.6" x14ac:dyDescent="0.3">
      <c r="D4" s="6">
        <f t="shared" si="0"/>
        <v>3</v>
      </c>
      <c r="E4" s="7" t="s">
        <v>16</v>
      </c>
      <c r="F4" s="8" t="s">
        <v>17</v>
      </c>
      <c r="G4" s="8" t="s">
        <v>18</v>
      </c>
      <c r="H4" s="8" t="s">
        <v>19</v>
      </c>
      <c r="I4" s="8" t="s">
        <v>20</v>
      </c>
    </row>
    <row r="5" spans="4:9" x14ac:dyDescent="0.3">
      <c r="D5" s="6">
        <f t="shared" si="0"/>
        <v>4</v>
      </c>
      <c r="E5" s="7" t="s">
        <v>21</v>
      </c>
      <c r="F5" s="8" t="s">
        <v>22</v>
      </c>
      <c r="G5" s="8" t="s">
        <v>23</v>
      </c>
      <c r="H5" s="8" t="s">
        <v>24</v>
      </c>
      <c r="I5" s="8" t="s">
        <v>25</v>
      </c>
    </row>
    <row r="6" spans="4:9" ht="27.6" x14ac:dyDescent="0.3">
      <c r="D6" s="6">
        <f t="shared" si="0"/>
        <v>5</v>
      </c>
      <c r="E6" s="7" t="s">
        <v>26</v>
      </c>
      <c r="F6" s="8" t="s">
        <v>27</v>
      </c>
      <c r="G6" s="8" t="s">
        <v>28</v>
      </c>
      <c r="H6" s="8" t="s">
        <v>29</v>
      </c>
      <c r="I6" s="8" t="s">
        <v>30</v>
      </c>
    </row>
    <row r="7" spans="4:9" ht="27.6" x14ac:dyDescent="0.3">
      <c r="D7" s="6">
        <f t="shared" si="0"/>
        <v>6</v>
      </c>
      <c r="E7" s="7" t="s">
        <v>31</v>
      </c>
      <c r="F7" s="8" t="s">
        <v>32</v>
      </c>
      <c r="G7" s="8" t="s">
        <v>33</v>
      </c>
      <c r="H7" s="8" t="s">
        <v>34</v>
      </c>
      <c r="I7" s="8" t="s">
        <v>35</v>
      </c>
    </row>
    <row r="8" spans="4:9" ht="27.6" x14ac:dyDescent="0.3">
      <c r="D8" s="6">
        <f t="shared" si="0"/>
        <v>7</v>
      </c>
      <c r="E8" s="7" t="s">
        <v>36</v>
      </c>
      <c r="F8" s="8" t="s">
        <v>37</v>
      </c>
      <c r="G8" s="8" t="s">
        <v>38</v>
      </c>
      <c r="H8" s="8" t="s">
        <v>39</v>
      </c>
      <c r="I8" s="8" t="s">
        <v>40</v>
      </c>
    </row>
    <row r="9" spans="4:9" x14ac:dyDescent="0.3">
      <c r="D9" s="6">
        <f t="shared" si="0"/>
        <v>8</v>
      </c>
      <c r="E9" s="7" t="s">
        <v>41</v>
      </c>
      <c r="F9" s="8" t="s">
        <v>7</v>
      </c>
      <c r="G9" s="8" t="s">
        <v>42</v>
      </c>
      <c r="H9" s="8" t="s">
        <v>43</v>
      </c>
      <c r="I9" s="8" t="s">
        <v>44</v>
      </c>
    </row>
    <row r="10" spans="4:9" x14ac:dyDescent="0.3">
      <c r="D10" s="6">
        <f t="shared" si="0"/>
        <v>9</v>
      </c>
      <c r="E10" s="7" t="s">
        <v>45</v>
      </c>
      <c r="F10" s="8" t="s">
        <v>46</v>
      </c>
      <c r="G10" s="8" t="s">
        <v>47</v>
      </c>
      <c r="H10" s="8" t="s">
        <v>48</v>
      </c>
      <c r="I10" s="8" t="s">
        <v>49</v>
      </c>
    </row>
    <row r="11" spans="4:9" x14ac:dyDescent="0.3">
      <c r="D11" s="6">
        <f t="shared" si="0"/>
        <v>10</v>
      </c>
      <c r="E11" s="7" t="s">
        <v>50</v>
      </c>
      <c r="F11" s="8" t="s">
        <v>46</v>
      </c>
      <c r="G11" s="8" t="s">
        <v>51</v>
      </c>
      <c r="H11" s="8" t="s">
        <v>52</v>
      </c>
      <c r="I11" s="8" t="s">
        <v>53</v>
      </c>
    </row>
    <row r="12" spans="4:9" x14ac:dyDescent="0.3">
      <c r="D12" s="6">
        <f t="shared" si="0"/>
        <v>11</v>
      </c>
      <c r="E12" s="7" t="s">
        <v>54</v>
      </c>
      <c r="F12" s="8" t="s">
        <v>55</v>
      </c>
      <c r="G12" s="8" t="s">
        <v>56</v>
      </c>
      <c r="H12" s="8" t="s">
        <v>57</v>
      </c>
      <c r="I12" s="8" t="s">
        <v>58</v>
      </c>
    </row>
    <row r="13" spans="4:9" ht="27.6" x14ac:dyDescent="0.3">
      <c r="D13" s="6">
        <f t="shared" si="0"/>
        <v>12</v>
      </c>
      <c r="E13" s="7" t="s">
        <v>59</v>
      </c>
      <c r="F13" s="8" t="s">
        <v>60</v>
      </c>
      <c r="G13" s="8" t="s">
        <v>61</v>
      </c>
      <c r="H13" s="8" t="s">
        <v>62</v>
      </c>
      <c r="I13" s="8" t="s">
        <v>63</v>
      </c>
    </row>
    <row r="14" spans="4:9" ht="27.6" x14ac:dyDescent="0.3">
      <c r="D14" s="6">
        <f t="shared" si="0"/>
        <v>13</v>
      </c>
      <c r="E14" s="7" t="s">
        <v>64</v>
      </c>
      <c r="F14" s="8" t="s">
        <v>46</v>
      </c>
      <c r="G14" s="8" t="s">
        <v>65</v>
      </c>
      <c r="H14" s="8" t="s">
        <v>66</v>
      </c>
      <c r="I14" s="8" t="s">
        <v>67</v>
      </c>
    </row>
    <row r="15" spans="4:9" x14ac:dyDescent="0.3">
      <c r="D15" s="6">
        <f t="shared" si="0"/>
        <v>14</v>
      </c>
      <c r="E15" s="7" t="s">
        <v>68</v>
      </c>
      <c r="F15" s="8" t="s">
        <v>69</v>
      </c>
      <c r="G15" s="8" t="s">
        <v>70</v>
      </c>
      <c r="H15" s="8" t="s">
        <v>71</v>
      </c>
      <c r="I15" s="8" t="s">
        <v>72</v>
      </c>
    </row>
    <row r="16" spans="4:9" x14ac:dyDescent="0.3">
      <c r="D16" s="6">
        <f t="shared" si="0"/>
        <v>15</v>
      </c>
      <c r="E16" s="7" t="s">
        <v>73</v>
      </c>
      <c r="F16" s="8" t="s">
        <v>74</v>
      </c>
      <c r="G16" s="8" t="s">
        <v>75</v>
      </c>
      <c r="H16" s="8" t="s">
        <v>76</v>
      </c>
      <c r="I16" s="8" t="s">
        <v>77</v>
      </c>
    </row>
    <row r="17" spans="4:9" x14ac:dyDescent="0.3">
      <c r="D17" s="6">
        <f t="shared" si="0"/>
        <v>16</v>
      </c>
      <c r="E17" s="7" t="s">
        <v>78</v>
      </c>
      <c r="F17" s="8" t="s">
        <v>79</v>
      </c>
      <c r="G17" s="8" t="s">
        <v>80</v>
      </c>
      <c r="H17" s="8" t="s">
        <v>81</v>
      </c>
      <c r="I17" s="8" t="s">
        <v>82</v>
      </c>
    </row>
    <row r="18" spans="4:9" ht="27.6" x14ac:dyDescent="0.3">
      <c r="D18" s="6">
        <f t="shared" si="0"/>
        <v>17</v>
      </c>
      <c r="E18" s="7" t="s">
        <v>83</v>
      </c>
      <c r="F18" s="8" t="s">
        <v>7</v>
      </c>
      <c r="G18" s="8" t="s">
        <v>84</v>
      </c>
      <c r="H18" s="8" t="s">
        <v>85</v>
      </c>
      <c r="I18" s="8" t="s">
        <v>86</v>
      </c>
    </row>
    <row r="19" spans="4:9" ht="27.6" x14ac:dyDescent="0.3">
      <c r="D19" s="6">
        <f t="shared" si="0"/>
        <v>18</v>
      </c>
      <c r="E19" s="7" t="s">
        <v>87</v>
      </c>
      <c r="F19" s="8" t="s">
        <v>88</v>
      </c>
      <c r="G19" s="8" t="s">
        <v>89</v>
      </c>
      <c r="H19" s="8" t="s">
        <v>90</v>
      </c>
      <c r="I19" s="8" t="s">
        <v>91</v>
      </c>
    </row>
    <row r="20" spans="4:9" ht="27.6" x14ac:dyDescent="0.3">
      <c r="D20" s="6">
        <f t="shared" si="0"/>
        <v>19</v>
      </c>
      <c r="E20" s="7" t="s">
        <v>92</v>
      </c>
      <c r="F20" s="8" t="s">
        <v>93</v>
      </c>
      <c r="G20" s="8" t="s">
        <v>94</v>
      </c>
      <c r="H20" s="8" t="s">
        <v>95</v>
      </c>
      <c r="I20" s="8" t="s">
        <v>96</v>
      </c>
    </row>
    <row r="21" spans="4:9" ht="27.6" x14ac:dyDescent="0.3">
      <c r="D21" s="6">
        <f t="shared" si="0"/>
        <v>20</v>
      </c>
      <c r="E21" s="7" t="s">
        <v>97</v>
      </c>
      <c r="F21" s="8" t="s">
        <v>46</v>
      </c>
      <c r="G21" s="8" t="s">
        <v>98</v>
      </c>
      <c r="H21" s="8" t="s">
        <v>99</v>
      </c>
      <c r="I21" s="8" t="s">
        <v>100</v>
      </c>
    </row>
    <row r="22" spans="4:9" x14ac:dyDescent="0.3">
      <c r="D22" s="6">
        <f t="shared" si="0"/>
        <v>21</v>
      </c>
      <c r="E22" s="7" t="s">
        <v>101</v>
      </c>
      <c r="F22" s="8" t="s">
        <v>93</v>
      </c>
      <c r="G22" s="8" t="s">
        <v>102</v>
      </c>
      <c r="H22" s="8" t="s">
        <v>103</v>
      </c>
      <c r="I22" s="8" t="s">
        <v>104</v>
      </c>
    </row>
    <row r="23" spans="4:9" ht="27.6" x14ac:dyDescent="0.3">
      <c r="D23" s="6">
        <f t="shared" si="0"/>
        <v>22</v>
      </c>
      <c r="E23" s="7" t="s">
        <v>105</v>
      </c>
      <c r="F23" s="8" t="s">
        <v>106</v>
      </c>
      <c r="G23" s="8" t="s">
        <v>107</v>
      </c>
      <c r="H23" s="8" t="s">
        <v>108</v>
      </c>
      <c r="I23" s="8" t="s">
        <v>109</v>
      </c>
    </row>
    <row r="24" spans="4:9" x14ac:dyDescent="0.3">
      <c r="D24" s="6">
        <f t="shared" si="0"/>
        <v>23</v>
      </c>
      <c r="E24" s="7" t="s">
        <v>110</v>
      </c>
      <c r="F24" s="8" t="s">
        <v>22</v>
      </c>
      <c r="G24" s="8" t="s">
        <v>111</v>
      </c>
      <c r="H24" s="8" t="s">
        <v>112</v>
      </c>
      <c r="I24" s="8" t="s">
        <v>113</v>
      </c>
    </row>
    <row r="25" spans="4:9" x14ac:dyDescent="0.3">
      <c r="D25" s="6">
        <f t="shared" si="0"/>
        <v>24</v>
      </c>
      <c r="E25" s="7" t="s">
        <v>114</v>
      </c>
      <c r="F25" s="8" t="s">
        <v>46</v>
      </c>
      <c r="G25" s="8" t="s">
        <v>115</v>
      </c>
      <c r="H25" s="8" t="s">
        <v>116</v>
      </c>
      <c r="I25" s="8" t="s">
        <v>117</v>
      </c>
    </row>
    <row r="26" spans="4:9" x14ac:dyDescent="0.3">
      <c r="D26" s="6">
        <f t="shared" si="0"/>
        <v>25</v>
      </c>
      <c r="E26" s="7" t="s">
        <v>118</v>
      </c>
      <c r="F26" s="8" t="s">
        <v>46</v>
      </c>
      <c r="G26" s="8" t="s">
        <v>119</v>
      </c>
      <c r="H26" s="8" t="s">
        <v>120</v>
      </c>
      <c r="I26" s="8" t="s">
        <v>121</v>
      </c>
    </row>
    <row r="27" spans="4:9" x14ac:dyDescent="0.3">
      <c r="D27" s="6">
        <f t="shared" si="0"/>
        <v>26</v>
      </c>
      <c r="E27" s="7" t="s">
        <v>122</v>
      </c>
      <c r="F27" s="8" t="s">
        <v>79</v>
      </c>
      <c r="G27" s="8" t="s">
        <v>123</v>
      </c>
      <c r="H27" s="8" t="s">
        <v>124</v>
      </c>
      <c r="I27" s="8" t="s">
        <v>125</v>
      </c>
    </row>
    <row r="28" spans="4:9" ht="27.6" x14ac:dyDescent="0.3">
      <c r="D28" s="6">
        <f t="shared" si="0"/>
        <v>27</v>
      </c>
      <c r="E28" s="7" t="s">
        <v>126</v>
      </c>
      <c r="F28" s="8" t="s">
        <v>127</v>
      </c>
      <c r="G28" s="8" t="s">
        <v>128</v>
      </c>
      <c r="H28" s="8" t="s">
        <v>129</v>
      </c>
      <c r="I28" s="8" t="s">
        <v>130</v>
      </c>
    </row>
    <row r="29" spans="4:9" x14ac:dyDescent="0.3">
      <c r="D29" s="6">
        <f t="shared" si="0"/>
        <v>28</v>
      </c>
      <c r="E29" s="7" t="s">
        <v>131</v>
      </c>
      <c r="F29" s="8" t="s">
        <v>27</v>
      </c>
      <c r="G29" s="8" t="s">
        <v>132</v>
      </c>
      <c r="H29" s="8" t="s">
        <v>133</v>
      </c>
      <c r="I29" s="8" t="s">
        <v>134</v>
      </c>
    </row>
    <row r="30" spans="4:9" ht="27.6" x14ac:dyDescent="0.3">
      <c r="D30" s="6">
        <f t="shared" si="0"/>
        <v>29</v>
      </c>
      <c r="E30" s="7" t="s">
        <v>135</v>
      </c>
      <c r="F30" s="8" t="s">
        <v>88</v>
      </c>
      <c r="G30" s="8" t="s">
        <v>136</v>
      </c>
      <c r="H30" s="8" t="s">
        <v>137</v>
      </c>
      <c r="I30" s="8" t="s">
        <v>138</v>
      </c>
    </row>
    <row r="31" spans="4:9" ht="27.6" x14ac:dyDescent="0.3">
      <c r="D31" s="6">
        <f t="shared" si="0"/>
        <v>30</v>
      </c>
      <c r="E31" s="7" t="s">
        <v>139</v>
      </c>
      <c r="F31" s="8" t="s">
        <v>140</v>
      </c>
      <c r="G31" s="8" t="s">
        <v>141</v>
      </c>
      <c r="H31" s="8" t="s">
        <v>142</v>
      </c>
      <c r="I31" s="8" t="s">
        <v>143</v>
      </c>
    </row>
    <row r="32" spans="4:9" x14ac:dyDescent="0.3">
      <c r="D32" s="6">
        <f t="shared" si="0"/>
        <v>31</v>
      </c>
      <c r="E32" s="7" t="s">
        <v>144</v>
      </c>
      <c r="F32" s="8" t="s">
        <v>7</v>
      </c>
      <c r="G32" s="8" t="s">
        <v>145</v>
      </c>
      <c r="H32" s="8" t="s">
        <v>146</v>
      </c>
      <c r="I32" s="8" t="s">
        <v>147</v>
      </c>
    </row>
    <row r="33" spans="4:9" ht="27.6" x14ac:dyDescent="0.3">
      <c r="D33" s="6">
        <f t="shared" si="0"/>
        <v>32</v>
      </c>
      <c r="E33" s="7" t="s">
        <v>148</v>
      </c>
      <c r="F33" s="8" t="s">
        <v>106</v>
      </c>
      <c r="G33" s="8" t="s">
        <v>149</v>
      </c>
      <c r="H33" s="8" t="s">
        <v>150</v>
      </c>
      <c r="I33" s="8" t="s">
        <v>151</v>
      </c>
    </row>
    <row r="34" spans="4:9" ht="27.6" x14ac:dyDescent="0.3">
      <c r="D34" s="6">
        <f t="shared" si="0"/>
        <v>33</v>
      </c>
      <c r="E34" s="7" t="s">
        <v>152</v>
      </c>
      <c r="F34" s="8" t="s">
        <v>37</v>
      </c>
      <c r="G34" s="8" t="s">
        <v>153</v>
      </c>
      <c r="H34" s="8" t="s">
        <v>154</v>
      </c>
      <c r="I34" s="8" t="s">
        <v>155</v>
      </c>
    </row>
    <row r="35" spans="4:9" ht="27.6" x14ac:dyDescent="0.3">
      <c r="D35" s="6">
        <f t="shared" si="0"/>
        <v>34</v>
      </c>
      <c r="E35" s="7" t="s">
        <v>156</v>
      </c>
      <c r="F35" s="8" t="s">
        <v>127</v>
      </c>
      <c r="G35" s="8" t="s">
        <v>157</v>
      </c>
      <c r="H35" s="8" t="s">
        <v>158</v>
      </c>
      <c r="I35" s="8" t="s">
        <v>159</v>
      </c>
    </row>
    <row r="36" spans="4:9" ht="27.6" x14ac:dyDescent="0.3">
      <c r="D36" s="6">
        <f t="shared" si="0"/>
        <v>35</v>
      </c>
      <c r="E36" s="7" t="s">
        <v>160</v>
      </c>
      <c r="F36" s="8" t="s">
        <v>37</v>
      </c>
      <c r="G36" s="8" t="s">
        <v>161</v>
      </c>
      <c r="H36" s="8" t="s">
        <v>162</v>
      </c>
      <c r="I36" s="8" t="s">
        <v>163</v>
      </c>
    </row>
    <row r="37" spans="4:9" x14ac:dyDescent="0.3">
      <c r="D37" s="6">
        <f t="shared" si="0"/>
        <v>36</v>
      </c>
      <c r="E37" s="7" t="s">
        <v>164</v>
      </c>
      <c r="F37" s="8" t="s">
        <v>69</v>
      </c>
      <c r="G37" s="8" t="s">
        <v>165</v>
      </c>
      <c r="H37" s="8" t="s">
        <v>166</v>
      </c>
      <c r="I37" s="8" t="s">
        <v>167</v>
      </c>
    </row>
    <row r="38" spans="4:9" x14ac:dyDescent="0.3">
      <c r="D38" s="6">
        <f t="shared" si="0"/>
        <v>37</v>
      </c>
      <c r="E38" s="7" t="s">
        <v>168</v>
      </c>
      <c r="F38" s="8" t="s">
        <v>88</v>
      </c>
      <c r="G38" s="8" t="s">
        <v>169</v>
      </c>
      <c r="H38" s="8" t="s">
        <v>170</v>
      </c>
      <c r="I38" s="8" t="s">
        <v>171</v>
      </c>
    </row>
    <row r="39" spans="4:9" ht="27.6" x14ac:dyDescent="0.3">
      <c r="D39" s="6">
        <f t="shared" si="0"/>
        <v>38</v>
      </c>
      <c r="E39" s="7" t="s">
        <v>172</v>
      </c>
      <c r="F39" s="8" t="s">
        <v>7</v>
      </c>
      <c r="G39" s="8" t="s">
        <v>173</v>
      </c>
      <c r="H39" s="8" t="s">
        <v>174</v>
      </c>
      <c r="I39" s="8" t="s">
        <v>175</v>
      </c>
    </row>
    <row r="40" spans="4:9" x14ac:dyDescent="0.3">
      <c r="D40" s="6">
        <f t="shared" si="0"/>
        <v>39</v>
      </c>
      <c r="E40" s="7" t="s">
        <v>176</v>
      </c>
      <c r="F40" s="8" t="s">
        <v>46</v>
      </c>
      <c r="G40" s="8" t="s">
        <v>177</v>
      </c>
      <c r="H40" s="8" t="s">
        <v>178</v>
      </c>
      <c r="I40" s="8" t="s">
        <v>179</v>
      </c>
    </row>
    <row r="41" spans="4:9" x14ac:dyDescent="0.3">
      <c r="D41" s="6">
        <f t="shared" si="0"/>
        <v>40</v>
      </c>
      <c r="E41" s="7" t="s">
        <v>180</v>
      </c>
      <c r="F41" s="8" t="s">
        <v>181</v>
      </c>
      <c r="G41" s="8" t="s">
        <v>182</v>
      </c>
      <c r="H41" s="8" t="s">
        <v>183</v>
      </c>
      <c r="I41" s="8" t="s">
        <v>184</v>
      </c>
    </row>
    <row r="42" spans="4:9" x14ac:dyDescent="0.3">
      <c r="D42" s="6">
        <f t="shared" si="0"/>
        <v>41</v>
      </c>
      <c r="E42" s="7" t="s">
        <v>185</v>
      </c>
      <c r="F42" s="8" t="s">
        <v>186</v>
      </c>
      <c r="G42" s="8" t="s">
        <v>187</v>
      </c>
      <c r="H42" s="8" t="s">
        <v>188</v>
      </c>
      <c r="I42" s="8" t="s">
        <v>189</v>
      </c>
    </row>
    <row r="43" spans="4:9" x14ac:dyDescent="0.3">
      <c r="D43" s="6">
        <f t="shared" si="0"/>
        <v>42</v>
      </c>
      <c r="E43" s="7" t="s">
        <v>190</v>
      </c>
      <c r="F43" s="8" t="s">
        <v>186</v>
      </c>
      <c r="G43" s="8" t="s">
        <v>191</v>
      </c>
      <c r="H43" s="8" t="s">
        <v>192</v>
      </c>
      <c r="I43" s="8" t="s">
        <v>193</v>
      </c>
    </row>
    <row r="44" spans="4:9" ht="27.6" x14ac:dyDescent="0.3">
      <c r="D44" s="6">
        <f t="shared" si="0"/>
        <v>43</v>
      </c>
      <c r="E44" s="7" t="s">
        <v>194</v>
      </c>
      <c r="F44" s="8" t="s">
        <v>46</v>
      </c>
      <c r="G44" s="8" t="s">
        <v>195</v>
      </c>
      <c r="H44" s="8" t="s">
        <v>196</v>
      </c>
      <c r="I44" s="8" t="s">
        <v>197</v>
      </c>
    </row>
    <row r="45" spans="4:9" ht="27.6" x14ac:dyDescent="0.3">
      <c r="D45" s="6">
        <f t="shared" si="0"/>
        <v>44</v>
      </c>
      <c r="E45" s="7" t="s">
        <v>198</v>
      </c>
      <c r="F45" s="8" t="s">
        <v>46</v>
      </c>
      <c r="G45" s="8" t="s">
        <v>199</v>
      </c>
      <c r="H45" s="8" t="s">
        <v>200</v>
      </c>
      <c r="I45" s="8" t="s">
        <v>201</v>
      </c>
    </row>
    <row r="46" spans="4:9" x14ac:dyDescent="0.3">
      <c r="D46" s="6">
        <f t="shared" si="0"/>
        <v>45</v>
      </c>
      <c r="E46" s="7" t="s">
        <v>202</v>
      </c>
      <c r="F46" s="8" t="s">
        <v>127</v>
      </c>
      <c r="G46" s="8" t="s">
        <v>203</v>
      </c>
      <c r="H46" s="8" t="s">
        <v>204</v>
      </c>
      <c r="I46" s="8" t="s">
        <v>205</v>
      </c>
    </row>
    <row r="47" spans="4:9" x14ac:dyDescent="0.3">
      <c r="D47" s="6">
        <f t="shared" si="0"/>
        <v>46</v>
      </c>
      <c r="E47" s="7" t="s">
        <v>206</v>
      </c>
      <c r="F47" s="8" t="s">
        <v>207</v>
      </c>
      <c r="G47" s="8" t="s">
        <v>208</v>
      </c>
      <c r="H47" s="8" t="s">
        <v>209</v>
      </c>
      <c r="I47" s="8" t="s">
        <v>210</v>
      </c>
    </row>
    <row r="48" spans="4:9" ht="27.6" x14ac:dyDescent="0.3">
      <c r="D48" s="6">
        <f t="shared" si="0"/>
        <v>47</v>
      </c>
      <c r="E48" s="7" t="s">
        <v>211</v>
      </c>
      <c r="F48" s="8" t="s">
        <v>212</v>
      </c>
      <c r="G48" s="8" t="s">
        <v>213</v>
      </c>
      <c r="H48" s="8" t="s">
        <v>214</v>
      </c>
      <c r="I48" s="8" t="s">
        <v>215</v>
      </c>
    </row>
    <row r="49" spans="1:9" x14ac:dyDescent="0.3">
      <c r="D49" s="6">
        <f t="shared" si="0"/>
        <v>48</v>
      </c>
      <c r="E49" s="7" t="s">
        <v>216</v>
      </c>
      <c r="F49" s="8" t="s">
        <v>37</v>
      </c>
      <c r="G49" s="8" t="s">
        <v>217</v>
      </c>
      <c r="H49" s="8" t="s">
        <v>218</v>
      </c>
      <c r="I49" s="8" t="s">
        <v>219</v>
      </c>
    </row>
    <row r="50" spans="1:9" x14ac:dyDescent="0.3">
      <c r="D50" s="6">
        <f t="shared" si="0"/>
        <v>49</v>
      </c>
      <c r="E50" s="7" t="s">
        <v>220</v>
      </c>
      <c r="F50" s="8" t="s">
        <v>79</v>
      </c>
      <c r="G50" s="8" t="s">
        <v>221</v>
      </c>
      <c r="H50" s="8" t="s">
        <v>222</v>
      </c>
      <c r="I50" s="8" t="s">
        <v>223</v>
      </c>
    </row>
    <row r="51" spans="1:9" x14ac:dyDescent="0.3">
      <c r="D51" s="6">
        <f t="shared" si="0"/>
        <v>50</v>
      </c>
      <c r="E51" s="7" t="s">
        <v>224</v>
      </c>
      <c r="F51" s="8" t="s">
        <v>225</v>
      </c>
      <c r="G51" s="8" t="s">
        <v>226</v>
      </c>
      <c r="H51" s="8" t="s">
        <v>227</v>
      </c>
      <c r="I51" s="8" t="s">
        <v>228</v>
      </c>
    </row>
    <row r="52" spans="1:9" x14ac:dyDescent="0.3">
      <c r="A52" s="9"/>
      <c r="B52" s="10"/>
      <c r="C52" s="10"/>
      <c r="D52" s="11"/>
      <c r="E52" s="10"/>
      <c r="F52" s="10"/>
    </row>
    <row r="53" spans="1:9" x14ac:dyDescent="0.3">
      <c r="A53" s="13"/>
      <c r="B53" s="10"/>
      <c r="C53" s="10"/>
      <c r="D53" s="11"/>
      <c r="E53" s="10"/>
      <c r="F53" s="10"/>
    </row>
    <row r="54" spans="1:9" x14ac:dyDescent="0.3">
      <c r="A54" s="13"/>
      <c r="B54" s="10"/>
      <c r="C54" s="10"/>
      <c r="D54" s="11"/>
      <c r="E54" s="10"/>
      <c r="F54" s="10"/>
    </row>
    <row r="55" spans="1:9" x14ac:dyDescent="0.3">
      <c r="A55" s="13"/>
      <c r="B55" s="10"/>
      <c r="C55" s="10"/>
      <c r="D55" s="11"/>
      <c r="E55" s="10"/>
      <c r="F5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kehe 50 leads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ali</dc:creator>
  <cp:lastModifiedBy>zain ali</cp:lastModifiedBy>
  <dcterms:created xsi:type="dcterms:W3CDTF">2025-12-26T10:44:42Z</dcterms:created>
  <dcterms:modified xsi:type="dcterms:W3CDTF">2025-12-26T10:47:54Z</dcterms:modified>
</cp:coreProperties>
</file>